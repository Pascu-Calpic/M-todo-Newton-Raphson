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5DA1FBDD-0568-4BAC-B6A8-817A20358BF7}" xr6:coauthVersionLast="47" xr6:coauthVersionMax="47" xr10:uidLastSave="{00000000-0000-0000-0000-000000000000}"/>
  <bookViews>
    <workbookView xWindow="-120" yWindow="-120" windowWidth="20730" windowHeight="11160" xr2:uid="{0426BB3F-1F0A-4CD5-BC65-FC90ED04BD7E}"/>
  </bookViews>
  <sheets>
    <sheet name="Newton-Raphson" sheetId="1" r:id="rId1"/>
    <sheet name="Newton-Raphson en VB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1" l="1"/>
  <c r="I11" i="1"/>
  <c r="J11" i="1"/>
  <c r="H12" i="1" l="1"/>
  <c r="I12" i="1" s="1"/>
  <c r="J12" i="1" l="1"/>
  <c r="H13" i="1"/>
  <c r="J13" i="1" l="1"/>
  <c r="I13" i="1"/>
  <c r="K13" i="1"/>
  <c r="L12" i="1"/>
  <c r="H14" i="1" l="1"/>
  <c r="L13" i="1"/>
  <c r="I14" i="1" l="1"/>
  <c r="J14" i="1"/>
  <c r="H15" i="1"/>
  <c r="K14" i="1"/>
  <c r="I15" i="1" l="1"/>
  <c r="J15" i="1"/>
  <c r="K15" i="1"/>
  <c r="L14" i="1"/>
  <c r="H16" i="1" l="1"/>
  <c r="I16" i="1"/>
  <c r="J16" i="1"/>
  <c r="K16" i="1"/>
  <c r="L15" i="1"/>
  <c r="H17" i="1" l="1"/>
  <c r="K17" i="1" s="1"/>
  <c r="L16" i="1"/>
  <c r="J17" i="1" l="1"/>
  <c r="I17" i="1"/>
  <c r="H18" i="1" s="1"/>
  <c r="L17" i="1"/>
  <c r="I18" i="1" l="1"/>
  <c r="J18" i="1"/>
  <c r="H19" i="1" s="1"/>
  <c r="K18" i="1"/>
  <c r="L18" i="1" s="1"/>
  <c r="I19" i="1" l="1"/>
  <c r="J19" i="1"/>
  <c r="K19" i="1"/>
  <c r="L19" i="1" s="1"/>
  <c r="H20" i="1" l="1"/>
  <c r="K20" i="1" l="1"/>
  <c r="L20" i="1" s="1"/>
  <c r="I20" i="1"/>
  <c r="J20" i="1"/>
  <c r="H21" i="1" l="1"/>
  <c r="J21" i="1"/>
  <c r="I21" i="1"/>
  <c r="H22" i="1" s="1"/>
  <c r="K21" i="1"/>
  <c r="L21" i="1" s="1"/>
  <c r="I22" i="1" l="1"/>
  <c r="J22" i="1"/>
  <c r="K22" i="1"/>
  <c r="L22" i="1" s="1"/>
</calcChain>
</file>

<file path=xl/sharedStrings.xml><?xml version="1.0" encoding="utf-8"?>
<sst xmlns="http://schemas.openxmlformats.org/spreadsheetml/2006/main" count="36" uniqueCount="35">
  <si>
    <t>Método de Newton - Raphson</t>
  </si>
  <si>
    <t>Función:</t>
  </si>
  <si>
    <t>Derivada:</t>
  </si>
  <si>
    <t>Iteración</t>
  </si>
  <si>
    <t>Xn</t>
  </si>
  <si>
    <t>f(Xn)</t>
  </si>
  <si>
    <t>f'(Xn)</t>
  </si>
  <si>
    <t>Error (%)</t>
  </si>
  <si>
    <t>Error</t>
  </si>
  <si>
    <t>&lt;1%</t>
  </si>
  <si>
    <t>Resultado</t>
  </si>
  <si>
    <t>C</t>
  </si>
  <si>
    <t>f'(x)=</t>
  </si>
  <si>
    <t>f(x)=</t>
  </si>
  <si>
    <t>Tolerancia=</t>
  </si>
  <si>
    <t>f(x)</t>
  </si>
  <si>
    <t>x</t>
  </si>
  <si>
    <t>Iteracion (i)</t>
  </si>
  <si>
    <t>Xi</t>
  </si>
  <si>
    <t>f'(x)</t>
  </si>
  <si>
    <t>Error Absoluto</t>
  </si>
  <si>
    <t>Iniciar x =</t>
  </si>
  <si>
    <t>Incrementos=</t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</si>
  <si>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10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</si>
  <si>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9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</si>
  <si>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8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</si>
  <si>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7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</si>
  <si>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6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</si>
  <si>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5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</si>
  <si>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4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</si>
  <si>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</si>
  <si>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</si>
  <si>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</si>
  <si>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t xml:space="preserve">Raiz solución= </t>
  </si>
  <si>
    <t>Xo=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</si>
</sst>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0" xfId="0" applyFill="1"/>
    <xf numFmtId="0" fontId="0" fillId="3" borderId="7" xfId="0" applyFill="1" applyBorder="1"/>
    <xf numFmtId="0" fontId="0" fillId="3" borderId="8" xfId="0" applyFill="1" applyBorder="1"/>
    <xf numFmtId="10" fontId="0" fillId="0" borderId="1" xfId="1" applyNumberFormat="1" applyFont="1" applyBorder="1"/>
    <xf numFmtId="0" fontId="3" fillId="2" borderId="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5" xfId="0" applyFont="1" applyFill="1" applyBorder="1"/>
    <xf numFmtId="0" fontId="4" fillId="3" borderId="6" xfId="0" applyFont="1" applyFill="1" applyBorder="1"/>
    <xf numFmtId="0" fontId="4" fillId="3" borderId="9" xfId="0" applyFont="1" applyFill="1" applyBorder="1"/>
    <xf numFmtId="0" fontId="0" fillId="2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 vertical="center"/>
    </xf>
    <xf numFmtId="0" fontId="0" fillId="6" borderId="0" xfId="0" applyFill="1"/>
    <xf numFmtId="0" fontId="0" fillId="6" borderId="11" xfId="0" applyFill="1" applyBorder="1"/>
    <xf numFmtId="0" fontId="0" fillId="6" borderId="10" xfId="0" applyFill="1" applyBorder="1"/>
    <xf numFmtId="0" fontId="0" fillId="6" borderId="8" xfId="0" applyFill="1" applyBorder="1"/>
    <xf numFmtId="0" fontId="0" fillId="6" borderId="12" xfId="0" applyFill="1" applyBorder="1"/>
    <xf numFmtId="0" fontId="0" fillId="7" borderId="3" xfId="0" applyFill="1" applyBorder="1"/>
    <xf numFmtId="0" fontId="3" fillId="7" borderId="0" xfId="0" applyFont="1" applyFill="1" applyAlignment="1">
      <alignment horizontal="right"/>
    </xf>
    <xf numFmtId="0" fontId="6" fillId="7" borderId="0" xfId="0" applyFont="1" applyFill="1" applyAlignment="1">
      <alignment horizontal="center" vertical="center"/>
    </xf>
    <xf numFmtId="0" fontId="6" fillId="7" borderId="3" xfId="0" applyFont="1" applyFill="1" applyBorder="1" applyAlignment="1">
      <alignment horizontal="center"/>
    </xf>
    <xf numFmtId="0" fontId="0" fillId="7" borderId="0" xfId="0" applyFill="1"/>
    <xf numFmtId="0" fontId="3" fillId="7" borderId="0" xfId="0" applyFont="1" applyFill="1"/>
    <xf numFmtId="0" fontId="0" fillId="6" borderId="1" xfId="0" applyFill="1" applyBorder="1" applyAlignment="1">
      <alignment horizontal="right" vertical="center"/>
    </xf>
    <xf numFmtId="0" fontId="3" fillId="6" borderId="11" xfId="0" applyFont="1" applyFill="1" applyBorder="1" applyAlignment="1">
      <alignment horizontal="right"/>
    </xf>
    <xf numFmtId="0" fontId="3" fillId="6" borderId="10" xfId="0" applyFont="1" applyFill="1" applyBorder="1" applyAlignment="1">
      <alignment horizontal="right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8" fillId="0" borderId="6" xfId="0" applyFont="1" applyFill="1" applyBorder="1"/>
    <xf numFmtId="0" fontId="3" fillId="0" borderId="6" xfId="0" applyFont="1" applyBorder="1" applyAlignment="1"/>
    <xf numFmtId="0" fontId="3" fillId="2" borderId="2" xfId="0" applyFont="1" applyFill="1" applyBorder="1" applyAlignme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'Newton-Raphson en VB'!$B$7</c:f>
              <c:strCache>
                <c:ptCount val="1"/>
                <c:pt idx="0">
                  <c:v>f(x)</c:v>
                </c:pt>
              </c:strCache>
            </c:strRef>
          </c:tx>
          <c:spPr>
            <a:ln w="9525" cap="rnd">
              <a:solidFill>
                <a:schemeClr val="accent6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 cap="rnd">
                  <a:solidFill>
                    <a:schemeClr val="accent6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F1-47BD-88AE-F57DCE2CD3C0}"/>
              </c:ext>
            </c:extLst>
          </c:dPt>
          <c:xVal>
            <c:numRef>
              <c:f>'Newton-Raphson en VB'!$A$8:$A$27</c:f>
              <c:numCache>
                <c:formatCode>General</c:formatCode>
                <c:ptCount val="20"/>
              </c:numCache>
            </c:numRef>
          </c:xVal>
          <c:yVal>
            <c:numRef>
              <c:f>'Newton-Raphson en VB'!$B$8:$B$27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AF-4A76-90A9-BADA9676D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524240"/>
        <c:axId val="135499696"/>
      </c:scatterChart>
      <c:valAx>
        <c:axId val="13552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5499696"/>
        <c:crosses val="autoZero"/>
        <c:crossBetween val="midCat"/>
      </c:valAx>
      <c:valAx>
        <c:axId val="13549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552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611605</xdr:colOff>
      <xdr:row>4</xdr:row>
      <xdr:rowOff>100263</xdr:rowOff>
    </xdr:from>
    <xdr:to>
      <xdr:col>16</xdr:col>
      <xdr:colOff>601577</xdr:colOff>
      <xdr:row>9</xdr:row>
      <xdr:rowOff>25302</xdr:rowOff>
    </xdr:to>
    <xdr:pic>
      <xdr:nvPicPr>
        <xdr:cNvPr id="2" name="Imagen 1" descr="Ver las imágenes de origen">
          <a:extLst>
            <a:ext uri="{FF2B5EF4-FFF2-40B4-BE49-F238E27FC236}">
              <a16:creationId xmlns:a16="http://schemas.microsoft.com/office/drawing/2014/main" id="{F7CC583C-36CA-4598-AD33-9C9011A15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62263"/>
          <a:ext cx="2275972" cy="88756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150395</xdr:colOff>
      <xdr:row>5</xdr:row>
      <xdr:rowOff>180473</xdr:rowOff>
    </xdr:from>
    <xdr:to>
      <xdr:col>10</xdr:col>
      <xdr:colOff>621632</xdr:colOff>
      <xdr:row>7</xdr:row>
      <xdr:rowOff>30078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88655A7-6615-4961-9B3B-36022EC4A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08395" y="1132973"/>
          <a:ext cx="1453816" cy="240631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751973</xdr:colOff>
      <xdr:row>7</xdr:row>
      <xdr:rowOff>56617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3DE91A8-AB40-44C7-B7DE-DEFD130CB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72000" y="1143000"/>
          <a:ext cx="1513973" cy="2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13137</xdr:colOff>
      <xdr:row>5</xdr:row>
      <xdr:rowOff>292536</xdr:rowOff>
    </xdr:from>
    <xdr:to>
      <xdr:col>11</xdr:col>
      <xdr:colOff>21897</xdr:colOff>
      <xdr:row>26</xdr:row>
      <xdr:rowOff>164224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FA85AA8-101B-2F05-C9AD-5D32C25EA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464038</xdr:colOff>
      <xdr:row>1</xdr:row>
      <xdr:rowOff>280865</xdr:rowOff>
    </xdr:from>
    <xdr:to>
      <xdr:col>17</xdr:col>
      <xdr:colOff>232019</xdr:colOff>
      <xdr:row>2</xdr:row>
      <xdr:rowOff>293077</xdr:rowOff>
    </xdr:to>
    <xdr:sp macro="[0]!NewtonRaphson" textlink="">
      <xdr:nvSpPr>
        <xdr:cNvPr id="5" name="Rectángulo 4">
          <a:extLst>
            <a:ext uri="{FF2B5EF4-FFF2-40B4-BE49-F238E27FC236}">
              <a16:creationId xmlns:a16="http://schemas.microsoft.com/office/drawing/2014/main" id="{6AC18226-82E1-3F78-E3F5-403125BA9501}"/>
            </a:ext>
          </a:extLst>
        </xdr:cNvPr>
        <xdr:cNvSpPr/>
      </xdr:nvSpPr>
      <xdr:spPr>
        <a:xfrm>
          <a:off x="12297019" y="476250"/>
          <a:ext cx="1587500" cy="341923"/>
        </a:xfrm>
        <a:prstGeom prst="rect">
          <a:avLst/>
        </a:prstGeom>
        <a:solidFill>
          <a:schemeClr val="accent1"/>
        </a:solidFill>
        <a:ln>
          <a:solidFill>
            <a:schemeClr val="tx1"/>
          </a:solidFill>
        </a:ln>
        <a:effectLst>
          <a:innerShdw blurRad="114300">
            <a:prstClr val="black"/>
          </a:inn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+mn-lt"/>
            </a:rPr>
            <a:t>NEWTON</a:t>
          </a:r>
          <a:r>
            <a:rPr lang="es-419" sz="1200" baseline="0">
              <a:latin typeface="+mn-lt"/>
            </a:rPr>
            <a:t> - RAPHSON</a:t>
          </a:r>
          <a:endParaRPr lang="es-419" sz="1200">
            <a:latin typeface="+mn-lt"/>
          </a:endParaRPr>
        </a:p>
      </xdr:txBody>
    </xdr:sp>
    <xdr:clientData/>
  </xdr:twoCellAnchor>
  <xdr:twoCellAnchor>
    <xdr:from>
      <xdr:col>15</xdr:col>
      <xdr:colOff>666750</xdr:colOff>
      <xdr:row>3</xdr:row>
      <xdr:rowOff>153276</xdr:rowOff>
    </xdr:from>
    <xdr:to>
      <xdr:col>16</xdr:col>
      <xdr:colOff>1040086</xdr:colOff>
      <xdr:row>5</xdr:row>
      <xdr:rowOff>21896</xdr:rowOff>
    </xdr:to>
    <xdr:sp macro="[0]!Borrar2" textlink="">
      <xdr:nvSpPr>
        <xdr:cNvPr id="6" name="Rectángulo 5">
          <a:extLst>
            <a:ext uri="{FF2B5EF4-FFF2-40B4-BE49-F238E27FC236}">
              <a16:creationId xmlns:a16="http://schemas.microsoft.com/office/drawing/2014/main" id="{AE17C7AC-9A37-8F05-E309-304780941BDD}"/>
            </a:ext>
          </a:extLst>
        </xdr:cNvPr>
        <xdr:cNvSpPr/>
      </xdr:nvSpPr>
      <xdr:spPr>
        <a:xfrm>
          <a:off x="12573000" y="1095193"/>
          <a:ext cx="1135336" cy="323703"/>
        </a:xfrm>
        <a:prstGeom prst="rect">
          <a:avLst/>
        </a:prstGeom>
        <a:ln>
          <a:solidFill>
            <a:schemeClr val="tx1"/>
          </a:solidFill>
        </a:ln>
        <a:effectLst>
          <a:innerShdw blurRad="114300">
            <a:prstClr val="black"/>
          </a:innerShdw>
          <a:softEdge rad="12700"/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419" sz="1100"/>
            <a:t>BORRAR</a:t>
          </a:r>
          <a:r>
            <a:rPr lang="es-419" sz="1100" baseline="0"/>
            <a:t> DATOS</a:t>
          </a:r>
          <a:endParaRPr lang="es-419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6F631-99C5-4E0D-A299-4ABEB0B441D5}">
  <sheetPr codeName="Hoja1"/>
  <dimension ref="F2:M34"/>
  <sheetViews>
    <sheetView tabSelected="1" topLeftCell="B1" zoomScale="95" zoomScaleNormal="95" workbookViewId="0">
      <selection activeCell="O14" sqref="O14"/>
    </sheetView>
  </sheetViews>
  <sheetFormatPr baseColWidth="10" defaultRowHeight="15" x14ac:dyDescent="0.25"/>
  <cols>
    <col min="10" max="10" width="14.7109375" customWidth="1"/>
    <col min="12" max="12" width="21.85546875" customWidth="1"/>
  </cols>
  <sheetData>
    <row r="2" spans="6:13" x14ac:dyDescent="0.25">
      <c r="F2" s="3"/>
      <c r="G2" s="4"/>
      <c r="H2" s="4"/>
      <c r="I2" s="4"/>
      <c r="J2" s="4"/>
      <c r="K2" s="4"/>
      <c r="L2" s="4"/>
      <c r="M2" s="12"/>
    </row>
    <row r="3" spans="6:13" ht="15" customHeight="1" x14ac:dyDescent="0.25">
      <c r="F3" s="5"/>
      <c r="G3" s="34" t="s">
        <v>0</v>
      </c>
      <c r="H3" s="34"/>
      <c r="I3" s="34"/>
      <c r="J3" s="34"/>
      <c r="K3" s="34"/>
      <c r="L3" s="34"/>
      <c r="M3" s="13"/>
    </row>
    <row r="4" spans="6:13" ht="15" customHeight="1" x14ac:dyDescent="0.25">
      <c r="F4" s="5"/>
      <c r="G4" s="34"/>
      <c r="H4" s="34"/>
      <c r="I4" s="34"/>
      <c r="J4" s="34"/>
      <c r="K4" s="34"/>
      <c r="L4" s="34"/>
      <c r="M4" s="13"/>
    </row>
    <row r="5" spans="6:13" x14ac:dyDescent="0.25">
      <c r="F5" s="5"/>
      <c r="G5" s="6"/>
      <c r="H5" s="6"/>
      <c r="I5" s="6"/>
      <c r="J5" s="6"/>
      <c r="K5" s="6"/>
      <c r="L5" s="6"/>
      <c r="M5" s="13"/>
    </row>
    <row r="6" spans="6:13" x14ac:dyDescent="0.25">
      <c r="F6" s="5"/>
      <c r="G6" s="6"/>
      <c r="H6" s="6"/>
      <c r="I6" s="6"/>
      <c r="J6" s="6"/>
      <c r="K6" s="6"/>
      <c r="L6" s="6"/>
      <c r="M6" s="13"/>
    </row>
    <row r="7" spans="6:13" ht="15.75" x14ac:dyDescent="0.25">
      <c r="F7" s="10" t="s">
        <v>1</v>
      </c>
      <c r="G7" s="33"/>
      <c r="H7" s="33"/>
      <c r="I7" s="11" t="s">
        <v>2</v>
      </c>
      <c r="J7" s="39"/>
      <c r="K7" s="38"/>
      <c r="L7" s="2" t="s">
        <v>8</v>
      </c>
      <c r="M7" s="37" t="s">
        <v>9</v>
      </c>
    </row>
    <row r="8" spans="6:13" x14ac:dyDescent="0.25">
      <c r="F8" s="5"/>
      <c r="G8" s="6"/>
      <c r="H8" s="6"/>
      <c r="I8" s="6"/>
      <c r="J8" s="6"/>
      <c r="K8" s="6"/>
      <c r="L8" s="6"/>
      <c r="M8" s="13"/>
    </row>
    <row r="9" spans="6:13" x14ac:dyDescent="0.25">
      <c r="F9" s="5"/>
      <c r="G9" s="6"/>
      <c r="H9" s="6"/>
      <c r="I9" s="6"/>
      <c r="J9" s="6"/>
      <c r="K9" s="6"/>
      <c r="L9" s="6"/>
      <c r="M9" s="13"/>
    </row>
    <row r="10" spans="6:13" x14ac:dyDescent="0.25">
      <c r="F10" s="5"/>
      <c r="G10" s="2" t="s">
        <v>3</v>
      </c>
      <c r="H10" s="2" t="s">
        <v>4</v>
      </c>
      <c r="I10" s="2" t="s">
        <v>5</v>
      </c>
      <c r="J10" s="2" t="s">
        <v>6</v>
      </c>
      <c r="K10" s="2" t="s">
        <v>7</v>
      </c>
      <c r="L10" s="15" t="s">
        <v>10</v>
      </c>
      <c r="M10" s="13"/>
    </row>
    <row r="11" spans="6:13" x14ac:dyDescent="0.25">
      <c r="F11" s="5"/>
      <c r="G11" s="1">
        <v>0</v>
      </c>
      <c r="H11" s="1">
        <v>1</v>
      </c>
      <c r="I11" s="1">
        <f>H11^5+2*H11^4-4*H11^3+12</f>
        <v>11</v>
      </c>
      <c r="J11" s="1">
        <f>5*H11^4+8*H11^3-12*H11^2</f>
        <v>1</v>
      </c>
      <c r="K11" s="1"/>
      <c r="L11" s="1"/>
      <c r="M11" s="13"/>
    </row>
    <row r="12" spans="6:13" x14ac:dyDescent="0.25">
      <c r="F12" s="5"/>
      <c r="G12" s="1">
        <v>1</v>
      </c>
      <c r="H12" s="1">
        <f>H11-(I11/J11)</f>
        <v>-10</v>
      </c>
      <c r="I12" s="1">
        <f>H12^5+2*H12^4-4*H12^3+12</f>
        <v>-75988</v>
      </c>
      <c r="J12" s="1">
        <f t="shared" ref="J12:J22" si="0">5*H12^4+8*H12^3-12*H12^2</f>
        <v>40800</v>
      </c>
      <c r="K12" s="9">
        <f>ABS((H12-H11)/H12)*100%</f>
        <v>1.1000000000000001</v>
      </c>
      <c r="L12" s="1" t="str">
        <f>IF(K12&lt;1%,"Es la aprox. de la raiz","No es la aprox. de la raiz")</f>
        <v>No es la aprox. de la raiz</v>
      </c>
      <c r="M12" s="13"/>
    </row>
    <row r="13" spans="6:13" x14ac:dyDescent="0.25">
      <c r="F13" s="5"/>
      <c r="G13" s="1">
        <v>2</v>
      </c>
      <c r="H13" s="1">
        <f t="shared" ref="H13:H22" si="1">H12-(I12/J12)</f>
        <v>-8.1375490196078424</v>
      </c>
      <c r="I13" s="1">
        <f t="shared" ref="I13:I22" si="2">H13^5+2*H13^4-4*H13^3+12</f>
        <v>-24745.990092026248</v>
      </c>
      <c r="J13" s="1">
        <f t="shared" si="0"/>
        <v>16819.680869545733</v>
      </c>
      <c r="K13" s="9">
        <f>ABS((H13-H12)/H13)*100%</f>
        <v>0.22887124561762839</v>
      </c>
      <c r="L13" s="1" t="str">
        <f t="shared" ref="L13:L22" si="3">IF(K13&lt;1%,"Es la aprox. de la raiz","No es la aprox. de la raiz")</f>
        <v>No es la aprox. de la raiz</v>
      </c>
      <c r="M13" s="13"/>
    </row>
    <row r="14" spans="6:13" x14ac:dyDescent="0.25">
      <c r="F14" s="5"/>
      <c r="G14" s="1">
        <v>3</v>
      </c>
      <c r="H14" s="1">
        <f t="shared" si="1"/>
        <v>-6.6662969617384125</v>
      </c>
      <c r="I14" s="1">
        <f t="shared" si="2"/>
        <v>-8018.3442387021214</v>
      </c>
      <c r="J14" s="1">
        <f t="shared" si="0"/>
        <v>6971.1023255922673</v>
      </c>
      <c r="K14" s="9">
        <f>ABS((H14-H13)/H14)*100%</f>
        <v>0.22070004776471316</v>
      </c>
      <c r="L14" s="1" t="str">
        <f t="shared" si="3"/>
        <v>No es la aprox. de la raiz</v>
      </c>
      <c r="M14" s="13"/>
    </row>
    <row r="15" spans="6:13" x14ac:dyDescent="0.25">
      <c r="F15" s="5"/>
      <c r="G15" s="1">
        <v>4</v>
      </c>
      <c r="H15" s="1">
        <f t="shared" si="1"/>
        <v>-5.5160708046405276</v>
      </c>
      <c r="I15" s="1">
        <f t="shared" si="2"/>
        <v>-2571.8437181534778</v>
      </c>
      <c r="J15" s="1">
        <f t="shared" si="0"/>
        <v>2921.1969654830641</v>
      </c>
      <c r="K15" s="9">
        <f>ABS((H15-H14)/H15)*100%</f>
        <v>0.20852273254546141</v>
      </c>
      <c r="L15" s="1" t="str">
        <f t="shared" si="3"/>
        <v>No es la aprox. de la raiz</v>
      </c>
      <c r="M15" s="13"/>
    </row>
    <row r="16" spans="6:13" x14ac:dyDescent="0.25">
      <c r="F16" s="5"/>
      <c r="G16" s="1">
        <v>5</v>
      </c>
      <c r="H16" s="1">
        <f t="shared" si="1"/>
        <v>-4.6356633043786672</v>
      </c>
      <c r="I16" s="1">
        <f t="shared" si="2"/>
        <v>-806.66139382401752</v>
      </c>
      <c r="J16" s="1">
        <f t="shared" si="0"/>
        <v>1254.1535116998548</v>
      </c>
      <c r="K16" s="9">
        <f>ABS((H16-H15)/H16)*100%</f>
        <v>0.18992050165296984</v>
      </c>
      <c r="L16" s="1" t="str">
        <f t="shared" si="3"/>
        <v>No es la aprox. de la raiz</v>
      </c>
      <c r="M16" s="13"/>
    </row>
    <row r="17" spans="6:13" x14ac:dyDescent="0.25">
      <c r="F17" s="5"/>
      <c r="G17" s="1">
        <v>6</v>
      </c>
      <c r="H17" s="1">
        <f t="shared" si="1"/>
        <v>-3.9924713934213836</v>
      </c>
      <c r="I17" s="1">
        <f t="shared" si="2"/>
        <v>-239.68614172194728</v>
      </c>
      <c r="J17" s="1">
        <f t="shared" si="0"/>
        <v>569.9981689584024</v>
      </c>
      <c r="K17" s="9">
        <f>ABS((H17-H16)/H17)*100%</f>
        <v>0.1611011946177264</v>
      </c>
      <c r="L17" s="1" t="str">
        <f t="shared" si="3"/>
        <v>No es la aprox. de la raiz</v>
      </c>
      <c r="M17" s="13"/>
    </row>
    <row r="18" spans="6:13" x14ac:dyDescent="0.25">
      <c r="F18" s="5"/>
      <c r="G18" s="1">
        <v>7</v>
      </c>
      <c r="H18" s="1">
        <f t="shared" si="1"/>
        <v>-3.5719680395949274</v>
      </c>
      <c r="I18" s="1">
        <f t="shared" si="2"/>
        <v>-61.603842868306998</v>
      </c>
      <c r="J18" s="1">
        <f t="shared" si="0"/>
        <v>296.25062644264295</v>
      </c>
      <c r="K18" s="9">
        <f>ABS((H18-H17)/H18)*100%</f>
        <v>0.11772315686064835</v>
      </c>
      <c r="L18" s="1" t="str">
        <f t="shared" si="3"/>
        <v>No es la aprox. de la raiz</v>
      </c>
      <c r="M18" s="13"/>
    </row>
    <row r="19" spans="6:13" x14ac:dyDescent="0.25">
      <c r="F19" s="5"/>
      <c r="G19" s="1">
        <v>8</v>
      </c>
      <c r="H19" s="1">
        <f t="shared" si="1"/>
        <v>-3.364023018151288</v>
      </c>
      <c r="I19" s="1">
        <f t="shared" si="2"/>
        <v>-10.407876287485948</v>
      </c>
      <c r="J19" s="1">
        <f t="shared" si="0"/>
        <v>199.97733175823859</v>
      </c>
      <c r="K19" s="9">
        <f>ABS((H19-H18)/H19)*100%</f>
        <v>6.1814387214840269E-2</v>
      </c>
      <c r="L19" s="1" t="str">
        <f t="shared" si="3"/>
        <v>No es la aprox. de la raiz</v>
      </c>
      <c r="M19" s="13"/>
    </row>
    <row r="20" spans="6:13" x14ac:dyDescent="0.25">
      <c r="F20" s="5"/>
      <c r="G20" s="1">
        <v>9</v>
      </c>
      <c r="H20" s="1">
        <f t="shared" si="1"/>
        <v>-3.3119777378388751</v>
      </c>
      <c r="I20" s="1">
        <f t="shared" si="2"/>
        <v>-0.54251613690226463</v>
      </c>
      <c r="J20" s="1">
        <f t="shared" si="0"/>
        <v>179.34812695703204</v>
      </c>
      <c r="K20" s="9">
        <f>ABS((H20-H19)/H20)*100%</f>
        <v>1.5714260309724618E-2</v>
      </c>
      <c r="L20" s="1" t="str">
        <f t="shared" si="3"/>
        <v>No es la aprox. de la raiz</v>
      </c>
      <c r="M20" s="13"/>
    </row>
    <row r="21" spans="6:13" x14ac:dyDescent="0.25">
      <c r="F21" s="5"/>
      <c r="G21" s="1">
        <v>10</v>
      </c>
      <c r="H21" s="1">
        <f t="shared" si="1"/>
        <v>-3.3089528044531349</v>
      </c>
      <c r="I21" s="1">
        <f t="shared" si="2"/>
        <v>-1.7539495607366007E-3</v>
      </c>
      <c r="J21" s="1">
        <f t="shared" si="0"/>
        <v>178.18918920315102</v>
      </c>
      <c r="K21" s="9">
        <f>ABS((H21-H20)/H21)*100%</f>
        <v>9.1416637362408534E-4</v>
      </c>
      <c r="L21" s="1" t="str">
        <f t="shared" si="3"/>
        <v>Es la aprox. de la raiz</v>
      </c>
      <c r="M21" s="13"/>
    </row>
    <row r="22" spans="6:13" x14ac:dyDescent="0.25">
      <c r="F22" s="5"/>
      <c r="G22" s="1">
        <v>11</v>
      </c>
      <c r="H22" s="1">
        <f t="shared" si="1"/>
        <v>-3.3089429612658541</v>
      </c>
      <c r="I22" s="1">
        <f t="shared" si="2"/>
        <v>-1.8525526002122206E-8</v>
      </c>
      <c r="J22" s="1">
        <f t="shared" si="0"/>
        <v>178.18542508566782</v>
      </c>
      <c r="K22" s="9">
        <f>ABS((H22-H21)/H22)*100%</f>
        <v>2.9747225612634269E-6</v>
      </c>
      <c r="L22" s="1" t="str">
        <f t="shared" si="3"/>
        <v>Es la aprox. de la raiz</v>
      </c>
      <c r="M22" s="13"/>
    </row>
    <row r="23" spans="6:13" x14ac:dyDescent="0.25">
      <c r="F23" s="5"/>
      <c r="G23" s="1">
        <v>12</v>
      </c>
      <c r="H23" s="1"/>
      <c r="I23" s="1"/>
      <c r="J23" s="1"/>
      <c r="K23" s="9"/>
      <c r="L23" s="1"/>
      <c r="M23" s="13"/>
    </row>
    <row r="24" spans="6:13" x14ac:dyDescent="0.25">
      <c r="F24" s="5"/>
      <c r="G24" s="1">
        <v>13</v>
      </c>
      <c r="H24" s="1"/>
      <c r="I24" s="1"/>
      <c r="J24" s="1"/>
      <c r="K24" s="1"/>
      <c r="L24" s="1"/>
      <c r="M24" s="13"/>
    </row>
    <row r="25" spans="6:13" x14ac:dyDescent="0.25">
      <c r="F25" s="5"/>
      <c r="G25" s="1">
        <v>14</v>
      </c>
      <c r="H25" s="1"/>
      <c r="I25" s="1"/>
      <c r="J25" s="1"/>
      <c r="K25" s="1"/>
      <c r="L25" s="1"/>
      <c r="M25" s="13"/>
    </row>
    <row r="26" spans="6:13" x14ac:dyDescent="0.25">
      <c r="F26" s="5"/>
      <c r="G26" s="1">
        <v>15</v>
      </c>
      <c r="H26" s="1"/>
      <c r="I26" s="1"/>
      <c r="J26" s="1"/>
      <c r="K26" s="1"/>
      <c r="L26" s="1"/>
      <c r="M26" s="13"/>
    </row>
    <row r="27" spans="6:13" x14ac:dyDescent="0.25">
      <c r="F27" s="5"/>
      <c r="G27" s="1">
        <v>16</v>
      </c>
      <c r="H27" s="1"/>
      <c r="I27" s="1"/>
      <c r="J27" s="1"/>
      <c r="K27" s="1"/>
      <c r="L27" s="1"/>
      <c r="M27" s="13"/>
    </row>
    <row r="28" spans="6:13" x14ac:dyDescent="0.25">
      <c r="F28" s="5"/>
      <c r="G28" s="1">
        <v>17</v>
      </c>
      <c r="H28" s="1"/>
      <c r="I28" s="1"/>
      <c r="J28" s="1"/>
      <c r="K28" s="1"/>
      <c r="L28" s="1"/>
      <c r="M28" s="13"/>
    </row>
    <row r="29" spans="6:13" x14ac:dyDescent="0.25">
      <c r="F29" s="5"/>
      <c r="G29" s="1">
        <v>18</v>
      </c>
      <c r="H29" s="1"/>
      <c r="I29" s="1"/>
      <c r="J29" s="1"/>
      <c r="K29" s="1"/>
      <c r="L29" s="1"/>
      <c r="M29" s="13"/>
    </row>
    <row r="30" spans="6:13" x14ac:dyDescent="0.25">
      <c r="F30" s="5"/>
      <c r="G30" s="1">
        <v>19</v>
      </c>
      <c r="H30" s="1"/>
      <c r="I30" s="1"/>
      <c r="J30" s="1"/>
      <c r="K30" s="1"/>
      <c r="L30" s="1"/>
      <c r="M30" s="13"/>
    </row>
    <row r="31" spans="6:13" x14ac:dyDescent="0.25">
      <c r="F31" s="5"/>
      <c r="G31" s="1">
        <v>20</v>
      </c>
      <c r="H31" s="1"/>
      <c r="I31" s="1"/>
      <c r="J31" s="1"/>
      <c r="K31" s="1"/>
      <c r="L31" s="1"/>
      <c r="M31" s="13"/>
    </row>
    <row r="32" spans="6:13" x14ac:dyDescent="0.25">
      <c r="F32" s="5"/>
      <c r="G32" s="1">
        <v>21</v>
      </c>
      <c r="H32" s="1"/>
      <c r="I32" s="1"/>
      <c r="J32" s="1"/>
      <c r="K32" s="1"/>
      <c r="L32" s="1"/>
      <c r="M32" s="13"/>
    </row>
    <row r="33" spans="6:13" x14ac:dyDescent="0.25">
      <c r="F33" s="5"/>
      <c r="G33" s="1">
        <v>22</v>
      </c>
      <c r="H33" s="1"/>
      <c r="I33" s="1"/>
      <c r="J33" s="1"/>
      <c r="K33" s="1"/>
      <c r="L33" s="1"/>
      <c r="M33" s="13"/>
    </row>
    <row r="34" spans="6:13" x14ac:dyDescent="0.25">
      <c r="F34" s="7"/>
      <c r="G34" s="8"/>
      <c r="H34" s="8"/>
      <c r="I34" s="8"/>
      <c r="J34" s="8"/>
      <c r="K34" s="8"/>
      <c r="L34" s="8"/>
      <c r="M34" s="14"/>
    </row>
  </sheetData>
  <mergeCells count="2">
    <mergeCell ref="G7:H7"/>
    <mergeCell ref="G3:L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6347-21A0-49F1-A48E-EAED137B8DDF}">
  <sheetPr codeName="Hoja2"/>
  <dimension ref="A1:R28"/>
  <sheetViews>
    <sheetView zoomScale="90" zoomScaleNormal="90" workbookViewId="0">
      <selection activeCell="H5" sqref="H5:K5"/>
    </sheetView>
  </sheetViews>
  <sheetFormatPr baseColWidth="10" defaultRowHeight="15" x14ac:dyDescent="0.25"/>
  <cols>
    <col min="1" max="1" width="15" customWidth="1"/>
    <col min="15" max="15" width="14.85546875" customWidth="1"/>
    <col min="17" max="17" width="16" customWidth="1"/>
  </cols>
  <sheetData>
    <row r="1" spans="1:18" ht="22.5" customHeight="1" x14ac:dyDescent="0.25">
      <c r="A1" s="24"/>
      <c r="B1" s="26" t="s">
        <v>23</v>
      </c>
      <c r="C1" s="26" t="s">
        <v>24</v>
      </c>
      <c r="D1" s="26" t="s">
        <v>25</v>
      </c>
      <c r="E1" s="26" t="s">
        <v>26</v>
      </c>
      <c r="F1" s="26" t="s">
        <v>27</v>
      </c>
      <c r="G1" s="26" t="s">
        <v>28</v>
      </c>
      <c r="H1" s="26" t="s">
        <v>29</v>
      </c>
      <c r="I1" s="26" t="s">
        <v>30</v>
      </c>
      <c r="J1" s="26" t="s">
        <v>31</v>
      </c>
      <c r="K1" s="26" t="s">
        <v>32</v>
      </c>
      <c r="L1" s="27" t="s">
        <v>11</v>
      </c>
      <c r="M1" s="24"/>
      <c r="N1" s="24"/>
      <c r="O1" s="24"/>
      <c r="P1" s="24"/>
      <c r="Q1" s="24"/>
      <c r="R1" s="24"/>
    </row>
    <row r="2" spans="1:18" ht="26.25" customHeight="1" x14ac:dyDescent="0.25">
      <c r="A2" s="25" t="s">
        <v>13</v>
      </c>
      <c r="B2" s="18"/>
      <c r="C2" s="18"/>
      <c r="D2" s="18"/>
      <c r="E2" s="18"/>
      <c r="F2" s="18"/>
      <c r="G2" s="18">
        <v>1</v>
      </c>
      <c r="H2" s="18">
        <v>2</v>
      </c>
      <c r="I2" s="18">
        <v>-4</v>
      </c>
      <c r="J2" s="18">
        <v>0</v>
      </c>
      <c r="K2" s="18">
        <v>0</v>
      </c>
      <c r="L2" s="18">
        <v>12</v>
      </c>
      <c r="M2" s="28"/>
      <c r="N2" s="29" t="s">
        <v>34</v>
      </c>
      <c r="O2" s="30">
        <v>1</v>
      </c>
      <c r="P2" s="28"/>
      <c r="Q2" s="28"/>
      <c r="R2" s="28"/>
    </row>
    <row r="3" spans="1:18" ht="24.75" customHeight="1" x14ac:dyDescent="0.25">
      <c r="A3" s="25" t="s">
        <v>12</v>
      </c>
      <c r="B3" s="17"/>
      <c r="C3" s="17">
        <v>0</v>
      </c>
      <c r="D3" s="17">
        <v>0</v>
      </c>
      <c r="E3" s="17">
        <v>0</v>
      </c>
      <c r="F3" s="17">
        <v>0</v>
      </c>
      <c r="G3" s="17">
        <v>0</v>
      </c>
      <c r="H3" s="17">
        <v>5</v>
      </c>
      <c r="I3" s="17">
        <v>8</v>
      </c>
      <c r="J3" s="17">
        <v>-12</v>
      </c>
      <c r="K3" s="17">
        <v>0</v>
      </c>
      <c r="L3" s="17">
        <v>0</v>
      </c>
      <c r="M3" s="28"/>
      <c r="N3" s="29" t="s">
        <v>14</v>
      </c>
      <c r="O3" s="30">
        <v>1E-4</v>
      </c>
      <c r="P3" s="28"/>
      <c r="Q3" s="28"/>
      <c r="R3" s="28"/>
    </row>
    <row r="4" spans="1:18" ht="13.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18" ht="22.5" customHeight="1" x14ac:dyDescent="0.35">
      <c r="A5" s="31" t="s">
        <v>21</v>
      </c>
      <c r="B5" s="17">
        <v>-5</v>
      </c>
      <c r="C5" s="28"/>
      <c r="D5" s="28"/>
      <c r="E5" s="28"/>
      <c r="F5" s="36" t="s">
        <v>33</v>
      </c>
      <c r="G5" s="36"/>
      <c r="H5" s="35"/>
      <c r="I5" s="35"/>
      <c r="J5" s="35"/>
      <c r="K5" s="35"/>
      <c r="L5" s="28"/>
      <c r="M5" s="28"/>
      <c r="N5" s="28"/>
      <c r="O5" s="28"/>
      <c r="P5" s="28"/>
      <c r="Q5" s="28"/>
      <c r="R5" s="28"/>
    </row>
    <row r="6" spans="1:18" ht="23.25" customHeight="1" x14ac:dyDescent="0.25">
      <c r="A6" s="32" t="s">
        <v>22</v>
      </c>
      <c r="B6" s="17">
        <v>0.5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ht="15.75" customHeight="1" x14ac:dyDescent="0.25">
      <c r="A7" s="18" t="s">
        <v>16</v>
      </c>
      <c r="B7" s="18" t="s">
        <v>15</v>
      </c>
      <c r="C7" s="28"/>
      <c r="L7" s="28"/>
      <c r="M7" s="16" t="s">
        <v>17</v>
      </c>
      <c r="N7" s="16" t="s">
        <v>18</v>
      </c>
      <c r="O7" s="16" t="s">
        <v>15</v>
      </c>
      <c r="P7" s="16" t="s">
        <v>19</v>
      </c>
      <c r="Q7" s="16" t="s">
        <v>20</v>
      </c>
      <c r="R7" s="28"/>
    </row>
    <row r="8" spans="1:18" ht="15" customHeight="1" x14ac:dyDescent="0.25">
      <c r="A8" s="21"/>
      <c r="B8" s="20"/>
      <c r="C8" s="28"/>
      <c r="L8" s="28"/>
      <c r="M8" s="17"/>
      <c r="N8" s="17"/>
      <c r="O8" s="17"/>
      <c r="P8" s="17"/>
      <c r="Q8" s="17"/>
      <c r="R8" s="28"/>
    </row>
    <row r="9" spans="1:18" x14ac:dyDescent="0.25">
      <c r="A9" s="21"/>
      <c r="B9" s="21"/>
      <c r="C9" s="28"/>
      <c r="L9" s="28"/>
      <c r="M9" s="17"/>
      <c r="N9" s="17"/>
      <c r="O9" s="17"/>
      <c r="P9" s="17"/>
      <c r="Q9" s="17"/>
      <c r="R9" s="28"/>
    </row>
    <row r="10" spans="1:18" x14ac:dyDescent="0.25">
      <c r="A10" s="21"/>
      <c r="B10" s="21"/>
      <c r="C10" s="28"/>
      <c r="L10" s="28"/>
      <c r="M10" s="17"/>
      <c r="N10" s="17"/>
      <c r="O10" s="17"/>
      <c r="P10" s="17"/>
      <c r="Q10" s="17"/>
      <c r="R10" s="28"/>
    </row>
    <row r="11" spans="1:18" x14ac:dyDescent="0.25">
      <c r="A11" s="21"/>
      <c r="B11" s="21"/>
      <c r="C11" s="28"/>
      <c r="L11" s="28"/>
      <c r="M11" s="17"/>
      <c r="N11" s="17"/>
      <c r="O11" s="17"/>
      <c r="P11" s="17"/>
      <c r="Q11" s="17"/>
      <c r="R11" s="28"/>
    </row>
    <row r="12" spans="1:18" x14ac:dyDescent="0.25">
      <c r="A12" s="21"/>
      <c r="B12" s="21"/>
      <c r="C12" s="28"/>
      <c r="L12" s="28"/>
      <c r="M12" s="17"/>
      <c r="N12" s="17"/>
      <c r="O12" s="17"/>
      <c r="P12" s="17"/>
      <c r="Q12" s="17"/>
      <c r="R12" s="28"/>
    </row>
    <row r="13" spans="1:18" x14ac:dyDescent="0.25">
      <c r="A13" s="21"/>
      <c r="B13" s="21"/>
      <c r="C13" s="28"/>
      <c r="L13" s="28"/>
      <c r="M13" s="17"/>
      <c r="N13" s="17"/>
      <c r="O13" s="17"/>
      <c r="P13" s="17"/>
      <c r="Q13" s="17"/>
      <c r="R13" s="28"/>
    </row>
    <row r="14" spans="1:18" x14ac:dyDescent="0.25">
      <c r="A14" s="21"/>
      <c r="B14" s="21"/>
      <c r="C14" s="28"/>
      <c r="L14" s="28"/>
      <c r="M14" s="17"/>
      <c r="N14" s="17"/>
      <c r="O14" s="17"/>
      <c r="P14" s="17"/>
      <c r="Q14" s="17"/>
      <c r="R14" s="28"/>
    </row>
    <row r="15" spans="1:18" x14ac:dyDescent="0.25">
      <c r="A15" s="21"/>
      <c r="B15" s="21"/>
      <c r="C15" s="28"/>
      <c r="L15" s="28"/>
      <c r="M15" s="17"/>
      <c r="N15" s="17"/>
      <c r="O15" s="17"/>
      <c r="P15" s="17"/>
      <c r="Q15" s="17"/>
      <c r="R15" s="28"/>
    </row>
    <row r="16" spans="1:18" x14ac:dyDescent="0.25">
      <c r="A16" s="21"/>
      <c r="B16" s="21"/>
      <c r="C16" s="28"/>
      <c r="L16" s="28"/>
      <c r="M16" s="17"/>
      <c r="N16" s="17"/>
      <c r="O16" s="17"/>
      <c r="P16" s="17"/>
      <c r="Q16" s="17"/>
      <c r="R16" s="28"/>
    </row>
    <row r="17" spans="1:18" x14ac:dyDescent="0.25">
      <c r="A17" s="21"/>
      <c r="B17" s="21"/>
      <c r="C17" s="28"/>
      <c r="L17" s="28"/>
      <c r="M17" s="17"/>
      <c r="N17" s="17"/>
      <c r="O17" s="17"/>
      <c r="P17" s="17"/>
      <c r="Q17" s="17"/>
      <c r="R17" s="28"/>
    </row>
    <row r="18" spans="1:18" x14ac:dyDescent="0.25">
      <c r="A18" s="21"/>
      <c r="B18" s="21"/>
      <c r="C18" s="28"/>
      <c r="L18" s="28"/>
      <c r="M18" s="17"/>
      <c r="N18" s="17"/>
      <c r="O18" s="17"/>
      <c r="P18" s="17"/>
      <c r="Q18" s="17"/>
      <c r="R18" s="28"/>
    </row>
    <row r="19" spans="1:18" x14ac:dyDescent="0.25">
      <c r="A19" s="21"/>
      <c r="B19" s="21"/>
      <c r="C19" s="28"/>
      <c r="L19" s="28"/>
      <c r="M19" s="17"/>
      <c r="N19" s="17"/>
      <c r="O19" s="17"/>
      <c r="P19" s="17"/>
      <c r="Q19" s="17"/>
      <c r="R19" s="28"/>
    </row>
    <row r="20" spans="1:18" x14ac:dyDescent="0.25">
      <c r="A20" s="21"/>
      <c r="B20" s="21"/>
      <c r="C20" s="28"/>
      <c r="L20" s="28"/>
      <c r="M20" s="17"/>
      <c r="N20" s="17"/>
      <c r="O20" s="17"/>
      <c r="P20" s="17"/>
      <c r="Q20" s="17"/>
      <c r="R20" s="28"/>
    </row>
    <row r="21" spans="1:18" x14ac:dyDescent="0.25">
      <c r="A21" s="21"/>
      <c r="B21" s="21"/>
      <c r="C21" s="28"/>
      <c r="L21" s="28"/>
      <c r="M21" s="17"/>
      <c r="N21" s="17"/>
      <c r="O21" s="17"/>
      <c r="P21" s="17"/>
      <c r="Q21" s="17"/>
      <c r="R21" s="28"/>
    </row>
    <row r="22" spans="1:18" x14ac:dyDescent="0.25">
      <c r="A22" s="21"/>
      <c r="B22" s="21"/>
      <c r="C22" s="28"/>
      <c r="L22" s="28"/>
      <c r="M22" s="17"/>
      <c r="N22" s="17"/>
      <c r="O22" s="17"/>
      <c r="P22" s="17"/>
      <c r="Q22" s="17"/>
      <c r="R22" s="28"/>
    </row>
    <row r="23" spans="1:18" x14ac:dyDescent="0.25">
      <c r="A23" s="19"/>
      <c r="B23" s="21"/>
      <c r="C23" s="28"/>
      <c r="L23" s="28"/>
      <c r="M23" s="17"/>
      <c r="N23" s="17"/>
      <c r="O23" s="17"/>
      <c r="P23" s="17"/>
      <c r="Q23" s="17"/>
      <c r="R23" s="28"/>
    </row>
    <row r="24" spans="1:18" x14ac:dyDescent="0.25">
      <c r="A24" s="19"/>
      <c r="B24" s="21"/>
      <c r="C24" s="28"/>
      <c r="L24" s="28"/>
      <c r="M24" s="17"/>
      <c r="N24" s="17"/>
      <c r="O24" s="17"/>
      <c r="P24" s="17"/>
      <c r="Q24" s="17"/>
      <c r="R24" s="28"/>
    </row>
    <row r="25" spans="1:18" x14ac:dyDescent="0.25">
      <c r="A25" s="19"/>
      <c r="B25" s="21"/>
      <c r="C25" s="28"/>
      <c r="L25" s="28"/>
      <c r="M25" s="17"/>
      <c r="N25" s="17"/>
      <c r="O25" s="17"/>
      <c r="P25" s="17"/>
      <c r="Q25" s="17"/>
      <c r="R25" s="28"/>
    </row>
    <row r="26" spans="1:18" x14ac:dyDescent="0.25">
      <c r="A26" s="19"/>
      <c r="B26" s="21"/>
      <c r="C26" s="28"/>
      <c r="L26" s="28"/>
      <c r="M26" s="17"/>
      <c r="N26" s="17"/>
      <c r="O26" s="17"/>
      <c r="P26" s="17"/>
      <c r="Q26" s="17"/>
      <c r="R26" s="28"/>
    </row>
    <row r="27" spans="1:18" x14ac:dyDescent="0.25">
      <c r="A27" s="22"/>
      <c r="B27" s="23"/>
      <c r="C27" s="28"/>
      <c r="L27" s="28"/>
      <c r="M27" s="17"/>
      <c r="N27" s="17"/>
      <c r="O27" s="17"/>
      <c r="P27" s="17"/>
      <c r="Q27" s="17"/>
      <c r="R27" s="28"/>
    </row>
    <row r="28" spans="1:18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</row>
  </sheetData>
  <mergeCells count="2">
    <mergeCell ref="H5:K5"/>
    <mergeCell ref="F5:G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Newton-Raphson</vt:lpstr>
      <vt:lpstr>Newton-Raphson en VB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2022-11-19T16:25:05Z</dcterms:created>
  <dcterms:modified xsi:type="dcterms:W3CDTF">2022-11-24T01:43:05Z</dcterms:modified>
</cp:coreProperties>
</file>